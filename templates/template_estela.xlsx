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18192" windowHeight="11472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rgb="FF444444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1"/>
    <xf numFmtId="0" fontId="12" fillId="0" borderId="1"/>
    <xf numFmtId="44" fontId="12" fillId="0" borderId="1"/>
  </cellStyleXfs>
  <cellXfs count="82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0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11" fillId="0" borderId="0" pivotButton="0" quotePrefix="0" xfId="0"/>
    <xf numFmtId="0" fontId="7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7" fillId="0" borderId="0" pivotButton="0" quotePrefix="0" xfId="0"/>
    <xf numFmtId="164" fontId="4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9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4" fillId="0" borderId="1" pivotButton="0" quotePrefix="0" xfId="0"/>
    <xf numFmtId="0" fontId="9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2" fillId="0" borderId="0" pivotButton="0" quotePrefix="0" xfId="0"/>
    <xf numFmtId="169" fontId="2" fillId="0" borderId="0" pivotButton="0" quotePrefix="0" xfId="2"/>
    <xf numFmtId="0" fontId="4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pivotButton="0" quotePrefix="1" xfId="0"/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164" fontId="2" fillId="0" borderId="5" pivotButton="0" quotePrefix="0" xfId="0"/>
    <xf numFmtId="169" fontId="2" fillId="0" borderId="0" pivotButton="0" quotePrefix="0" xfId="2"/>
    <xf numFmtId="169" fontId="2" fillId="0" borderId="0" pivotButton="0" quotePrefix="0" xfId="0"/>
  </cellXfs>
  <cellStyles count="3">
    <cellStyle name="Normal" xfId="0" builtinId="0"/>
    <cellStyle name="Normal 2" xfId="1"/>
    <cellStyle name="Moneda" xfId="2" builtinId="4"/>
  </cellStyles>
  <dxfs count="34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ill>
        <patternFill/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33"/>
      <tableStyleElement type="firstRowStripe" dxfId="32"/>
      <tableStyleElement type="secondRowStripe" dxfId="31"/>
    </tableStyle>
    <tableStyle name="Datos-style 2" pivot="0" count="3">
      <tableStyleElement type="headerRow" dxfId="30"/>
      <tableStyleElement type="firstRowStripe" dxfId="29"/>
      <tableStyleElement type="secondRowStripe" dxfId="28"/>
    </tableStyle>
    <tableStyle name="Datos-style 3" pivot="0" count="3">
      <tableStyleElement type="headerRow" dxfId="27"/>
      <tableStyleElement type="firstRowStripe" dxfId="26"/>
      <tableStyleElement type="secondRowStripe" dxfId="25"/>
    </tableStyle>
    <tableStyle name="Datos-style 4" pivot="0" count="3">
      <tableStyleElement type="headerRow" dxfId="24"/>
      <tableStyleElement type="firstRowStripe" dxfId="23"/>
      <tableStyleElement type="secondRowStripe" dxfId="22"/>
    </tableStyle>
    <tableStyle name="Datos-style 5" pivot="0" count="3">
      <tableStyleElement type="headerRow" dxfId="21"/>
      <tableStyleElement type="firstRowStripe" dxfId="20"/>
      <tableStyleElement type="secondRowStripe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0"/>
  <sheetViews>
    <sheetView showGridLines="0" tabSelected="1" topLeftCell="B46" zoomScale="85" zoomScaleNormal="85" workbookViewId="0">
      <selection activeCell="D58" sqref="D58"/>
    </sheetView>
  </sheetViews>
  <sheetFormatPr baseColWidth="10" defaultColWidth="14.41796875" defaultRowHeight="15" customHeight="1"/>
  <cols>
    <col width="9.41796875" customWidth="1" style="62" min="1" max="1"/>
    <col width="2.3125" customWidth="1" style="62" min="2" max="2"/>
    <col width="31.5234375" customWidth="1" style="62" min="3" max="3"/>
    <col width="56.3125" customWidth="1" style="62" min="4" max="4"/>
    <col width="16.3125" customWidth="1" style="62" min="5" max="5"/>
    <col width="12.68359375" customWidth="1" style="62" min="6" max="6"/>
    <col width="28.41796875" customWidth="1" style="62" min="7" max="7"/>
    <col width="15.5234375" customWidth="1" style="62" min="8" max="8"/>
    <col width="20.5234375" customWidth="1" style="62" min="9" max="9"/>
    <col width="21.5234375" customWidth="1" style="62" min="10" max="10"/>
    <col width="12" customWidth="1" style="62" min="11" max="11"/>
    <col width="13.68359375" customWidth="1" style="62" min="12" max="12"/>
    <col width="11.41796875" customWidth="1" style="62" min="13" max="14"/>
    <col width="10.68359375" customWidth="1" style="62" min="15" max="26"/>
  </cols>
  <sheetData>
    <row r="1" ht="15.7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2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2">
      <c r="A6" s="1" t="n"/>
      <c r="B6" s="1" t="n"/>
      <c r="C6" s="66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2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2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64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2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6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2">
      <c r="A10" s="1" t="n"/>
      <c r="B10" s="1" t="n"/>
      <c r="C10" s="61" t="n"/>
      <c r="D10" s="61" t="n"/>
      <c r="E10" s="1" t="n"/>
      <c r="F10" s="1" t="n"/>
      <c r="G10" s="14" t="inlineStr">
        <is>
          <t>**Fecha de Emisión Factura:</t>
        </is>
      </c>
      <c r="H10" s="67" t="n"/>
      <c r="I10" s="64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2">
      <c r="A11" s="1" t="n"/>
      <c r="B11" s="1" t="n"/>
      <c r="C11" s="61" t="n"/>
      <c r="D11" s="61" t="n"/>
      <c r="E11" s="1" t="n"/>
      <c r="F11" s="1" t="n"/>
      <c r="G11" s="19" t="inlineStr">
        <is>
          <t>**Fecha de Pago:</t>
        </is>
      </c>
      <c r="H11" s="67" t="n"/>
      <c r="I11" s="61" t="n"/>
      <c r="J11" s="64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2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6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2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2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2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2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2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2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68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2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68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2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68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2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68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2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68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2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2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2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2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69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2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2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70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42.6" customHeight="1" s="62">
      <c r="A30" s="1" t="n"/>
      <c r="B30" s="13" t="n"/>
      <c r="C30" s="32" t="n"/>
      <c r="D30" s="33" t="n"/>
      <c r="E30" s="34" t="n"/>
      <c r="F30" s="35" t="n"/>
      <c r="G30" s="36" t="n"/>
      <c r="H30" s="37" t="n"/>
      <c r="I30" s="71" t="n"/>
      <c r="J30" s="71">
        <f>I30*H30</f>
        <v/>
      </c>
      <c r="K30" s="68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2">
      <c r="A31" s="1" t="n"/>
      <c r="B31" s="3" t="n"/>
      <c r="C31" s="39" t="n"/>
      <c r="D31" s="40" t="n"/>
      <c r="E31" s="41" t="n"/>
      <c r="F31" s="40" t="n"/>
      <c r="G31" s="40" t="n"/>
      <c r="H31" s="40" t="n"/>
      <c r="I31" s="1" t="inlineStr">
        <is>
          <t>BASE</t>
        </is>
      </c>
      <c r="J31" s="68">
        <f>+SUM(J30:J30)</f>
        <v/>
      </c>
      <c r="K31" s="70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2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68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2">
      <c r="A33" s="1" t="n"/>
      <c r="B33" s="3" t="n"/>
      <c r="C33" s="1" t="inlineStr">
        <is>
          <t xml:space="preserve"> </t>
        </is>
      </c>
      <c r="D33" s="1" t="n"/>
      <c r="E33" s="41" t="n"/>
      <c r="F33" s="1" t="n"/>
      <c r="G33" s="1" t="n"/>
      <c r="H33" s="1" t="n"/>
      <c r="I33" s="3" t="inlineStr">
        <is>
          <t>TOTAL</t>
        </is>
      </c>
      <c r="J33" s="69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2">
      <c r="A34" s="1" t="n"/>
      <c r="B34" s="3" t="n"/>
      <c r="C34" s="1" t="n"/>
      <c r="D34" s="1" t="n"/>
      <c r="E34" s="41" t="n"/>
      <c r="F34" s="1" t="n"/>
      <c r="G34" s="1" t="n"/>
      <c r="H34" s="1" t="n"/>
      <c r="I34" s="3" t="n"/>
      <c r="J34" s="69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2">
      <c r="A35" s="1" t="n"/>
      <c r="B35" s="3" t="n"/>
      <c r="C35" s="1" t="n"/>
      <c r="D35" s="1" t="n"/>
      <c r="E35" s="41" t="n"/>
      <c r="F35" s="1" t="n"/>
      <c r="G35" s="72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2">
      <c r="A36" s="1" t="n"/>
      <c r="B36" s="3" t="n"/>
      <c r="C36" s="1" t="n"/>
      <c r="D36" s="1" t="n"/>
      <c r="E36" s="41" t="n"/>
      <c r="F36" s="1" t="n"/>
      <c r="G36" s="1" t="inlineStr">
        <is>
          <t>Comisión</t>
        </is>
      </c>
      <c r="H36" s="1" t="inlineStr">
        <is>
          <t>TOTAL</t>
        </is>
      </c>
      <c r="I36" s="42" t="n">
        <v>0.05</v>
      </c>
      <c r="J36" s="73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2">
      <c r="A37" s="1" t="n"/>
      <c r="B37" s="3" t="n"/>
      <c r="C37" s="1" t="n"/>
      <c r="D37" s="1" t="n"/>
      <c r="E37" s="41" t="n"/>
      <c r="F37" s="1" t="n"/>
      <c r="G37" s="1" t="n"/>
      <c r="H37" s="74" t="n"/>
      <c r="I37" s="42" t="n"/>
      <c r="J37" s="75" t="n"/>
      <c r="K37" s="68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2">
      <c r="A38" s="1" t="n"/>
      <c r="B38" s="3" t="n"/>
      <c r="C38" s="1" t="n"/>
      <c r="D38" s="1" t="n"/>
      <c r="E38" s="41" t="n"/>
      <c r="F38" s="46" t="n"/>
      <c r="G38" s="1" t="n"/>
      <c r="I38" s="74" t="inlineStr">
        <is>
          <t>Retorno Total</t>
        </is>
      </c>
      <c r="J38" s="76">
        <f>J33-J36</f>
        <v/>
      </c>
      <c r="K38" s="68" t="n"/>
      <c r="L38" s="8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24" customHeight="1" s="62">
      <c r="A39" s="7" t="n"/>
      <c r="B39" s="7" t="n"/>
      <c r="C39" s="7" t="n"/>
      <c r="D39" s="39" t="inlineStr">
        <is>
          <t>Forma de Retorno</t>
        </is>
      </c>
      <c r="E39" s="41" t="n"/>
      <c r="F39" s="48" t="n"/>
      <c r="G39" s="48" t="n"/>
      <c r="I39" s="49" t="inlineStr">
        <is>
          <t>Comprobación retorno</t>
        </is>
      </c>
      <c r="J39" s="48">
        <f>IF(J33=SUM(G43:G71),"CORRECTO","ERROR")</f>
        <v/>
      </c>
      <c r="K39" s="7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2">
      <c r="A40" s="1" t="n"/>
      <c r="B40" s="1" t="n"/>
      <c r="C40" s="1" t="n"/>
      <c r="D40" s="61" t="n"/>
      <c r="E40" s="41" t="n"/>
      <c r="F40" s="1" t="n"/>
      <c r="G40" s="1" t="n"/>
      <c r="H40" s="1" t="n"/>
      <c r="I40" s="1" t="n"/>
      <c r="J40" s="1" t="n"/>
      <c r="K40" s="69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2">
      <c r="A41" s="1" t="n"/>
      <c r="B41" s="1" t="n"/>
      <c r="C41" s="1" t="n"/>
      <c r="D41" s="1" t="n"/>
      <c r="E41" s="41" t="n"/>
      <c r="F41" s="1" t="n"/>
      <c r="G41" s="61" t="n"/>
      <c r="H41" s="3" t="n"/>
      <c r="I41" s="1" t="n"/>
      <c r="J41" s="78" t="n"/>
      <c r="K41" s="69" t="n"/>
      <c r="L41" s="1" t="n"/>
      <c r="M41" s="68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2" thickBot="1">
      <c r="A42" s="1" t="n"/>
      <c r="B42" s="1" t="n"/>
      <c r="C42" s="15" t="inlineStr">
        <is>
          <t>Cuenta de Retorno</t>
        </is>
      </c>
      <c r="E42" s="1" t="n"/>
      <c r="F42" s="1" t="n"/>
      <c r="H42" s="1" t="n"/>
      <c r="I42" s="1" t="n"/>
      <c r="J42" s="1" t="n"/>
      <c r="K42" s="1" t="n"/>
      <c r="L42" s="1" t="inlineStr">
        <is>
          <t>JESSY IGNORA ESTO</t>
        </is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2" thickBot="1">
      <c r="A43" s="1" t="n"/>
      <c r="B43" s="1" t="n"/>
      <c r="C43" s="3" t="inlineStr">
        <is>
          <t>**Nombre Beneficiario</t>
        </is>
      </c>
      <c r="D43" s="51" t="inlineStr">
        <is>
          <t>MOBAR CAPITAL</t>
        </is>
      </c>
      <c r="E43" s="1" t="n"/>
      <c r="F43" s="1" t="n"/>
      <c r="G43" s="79">
        <f>J38</f>
        <v/>
      </c>
      <c r="H43" s="1" t="n"/>
      <c r="I43" s="1" t="n"/>
      <c r="J43" s="1" t="n"/>
      <c r="K43" s="1" t="n"/>
      <c r="L43" s="51" t="inlineStr">
        <is>
          <t>MA ESTHELA HERRERA VARGAS</t>
        </is>
      </c>
      <c r="M43" s="1" t="n"/>
      <c r="N43" s="80" t="n">
        <v>40000</v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2">
      <c r="A44" s="1" t="n"/>
      <c r="B44" s="1" t="n"/>
      <c r="C44" s="53" t="inlineStr">
        <is>
          <t>**Banco Receptor</t>
        </is>
      </c>
      <c r="D44" s="27" t="inlineStr">
        <is>
          <t>PEIBO</t>
        </is>
      </c>
      <c r="E44" s="1" t="n"/>
      <c r="F44" s="1" t="n"/>
      <c r="G44" s="68" t="n"/>
      <c r="H44" s="1" t="n"/>
      <c r="I44" s="1" t="n"/>
      <c r="J44" s="1" t="n"/>
      <c r="K44" s="1" t="n"/>
      <c r="L44" s="27" t="inlineStr">
        <is>
          <t>BBVA</t>
        </is>
      </c>
      <c r="M44" s="1" t="n"/>
      <c r="N44" s="80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2">
      <c r="A45" s="1" t="n"/>
      <c r="B45" s="1" t="n"/>
      <c r="C45" s="3" t="inlineStr">
        <is>
          <t>**Clabe:</t>
        </is>
      </c>
      <c r="D45" s="60" t="inlineStr">
        <is>
          <t>732010100000062073</t>
        </is>
      </c>
      <c r="E45" s="1" t="n"/>
      <c r="F45" s="1" t="n"/>
      <c r="G45" s="68" t="n"/>
      <c r="H45" s="1" t="n"/>
      <c r="I45" s="1" t="n"/>
      <c r="J45" s="1" t="n"/>
      <c r="K45" s="1" t="n"/>
      <c r="L45" s="60" t="inlineStr">
        <is>
          <t>012 095 0275 3572 8891</t>
        </is>
      </c>
      <c r="M45" s="1" t="n"/>
      <c r="N45" s="80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2">
      <c r="A46" s="1" t="n"/>
      <c r="B46" s="1" t="n"/>
      <c r="C46" s="61" t="n"/>
      <c r="E46" s="1" t="n"/>
      <c r="F46" s="1" t="n"/>
      <c r="H46" s="1" t="n"/>
      <c r="I46" s="1" t="n"/>
      <c r="J46" s="1" t="n"/>
      <c r="K46" s="1" t="n"/>
      <c r="L46" s="1" t="n"/>
      <c r="M46" s="1" t="n"/>
      <c r="N46" s="80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2" thickBot="1">
      <c r="A47" s="1" t="n"/>
      <c r="B47" s="1" t="n"/>
      <c r="C47" s="15" t="inlineStr">
        <is>
          <t>Cuenta de Retorno</t>
        </is>
      </c>
      <c r="E47" s="1" t="n"/>
      <c r="F47" s="1" t="n"/>
      <c r="H47" s="1" t="n"/>
      <c r="I47" s="1" t="n"/>
      <c r="J47" s="1" t="n"/>
      <c r="K47" s="1" t="n"/>
      <c r="L47" s="1" t="inlineStr">
        <is>
          <t xml:space="preserve">KARELY </t>
        </is>
      </c>
      <c r="M47" s="1" t="n"/>
      <c r="N47" s="80">
        <f>+J38-N43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2" thickBot="1">
      <c r="A48" s="1" t="n"/>
      <c r="B48" s="1" t="n"/>
      <c r="C48" s="3" t="inlineStr">
        <is>
          <t>**Nombre Beneficiario</t>
        </is>
      </c>
      <c r="D48" s="51" t="inlineStr">
        <is>
          <t>CROWNERMAST MOVIMIENTOS</t>
        </is>
      </c>
      <c r="E48" s="1" t="n"/>
      <c r="F48" s="1" t="n"/>
      <c r="G48" s="79">
        <f>H50</f>
        <v/>
      </c>
      <c r="H48" s="80">
        <f>+J33*1%</f>
        <v/>
      </c>
      <c r="I48" s="1" t="n"/>
      <c r="J48" s="1" t="n"/>
      <c r="K48" s="1" t="n"/>
      <c r="L48" t="inlineStr">
        <is>
          <t>BBVA</t>
        </is>
      </c>
      <c r="N48" s="80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2">
      <c r="A49" s="1" t="n"/>
      <c r="B49" s="1" t="n"/>
      <c r="C49" s="53" t="inlineStr">
        <is>
          <t>**Banco Receptor</t>
        </is>
      </c>
      <c r="D49" s="27" t="inlineStr">
        <is>
          <t>PEIBO</t>
        </is>
      </c>
      <c r="E49" s="1" t="n"/>
      <c r="F49" s="1" t="n"/>
      <c r="G49" s="68" t="n"/>
      <c r="H49" s="80">
        <f>+H48*3%</f>
        <v/>
      </c>
      <c r="I49" s="1" t="inlineStr">
        <is>
          <t>COM 3%</t>
        </is>
      </c>
      <c r="J49" s="1" t="n"/>
      <c r="K49" s="1" t="n"/>
      <c r="L49" t="inlineStr">
        <is>
          <t>012 095 029241 1895 28</t>
        </is>
      </c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2">
      <c r="A50" s="1" t="n"/>
      <c r="B50" s="1" t="n"/>
      <c r="C50" s="3" t="inlineStr">
        <is>
          <t>**Clabe:</t>
        </is>
      </c>
      <c r="D50" s="54" t="inlineStr">
        <is>
          <t>732010100000078258</t>
        </is>
      </c>
      <c r="E50" s="1" t="n"/>
      <c r="F50" s="1" t="n"/>
      <c r="G50" s="68" t="n"/>
      <c r="H50" s="80">
        <f>+H48-H49</f>
        <v/>
      </c>
      <c r="I50" s="1" t="n"/>
      <c r="J50" s="1" t="n"/>
      <c r="K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2" thickBot="1">
      <c r="A51" s="1" t="n"/>
      <c r="B51" s="1" t="n"/>
      <c r="C51" s="1" t="n"/>
      <c r="D51" s="1" t="n"/>
      <c r="E51" s="1" t="n"/>
      <c r="F51" s="1" t="n"/>
      <c r="G51" s="68" t="n"/>
      <c r="H51" s="1" t="n"/>
      <c r="I51" s="1" t="n"/>
      <c r="J51" s="1" t="n"/>
      <c r="K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2" thickBot="1">
      <c r="A52" s="1" t="n"/>
      <c r="B52" s="1" t="n"/>
      <c r="C52" s="3" t="inlineStr">
        <is>
          <t>**Nombre Beneficiario</t>
        </is>
      </c>
      <c r="D52" s="51" t="inlineStr">
        <is>
          <t>CROWNERMAST MOVIMIENTOS</t>
        </is>
      </c>
      <c r="E52" s="1" t="n"/>
      <c r="F52" s="1" t="n"/>
      <c r="G52" s="79">
        <f>+G48*1.5%</f>
        <v/>
      </c>
      <c r="H52" s="81">
        <f>+H49-G52</f>
        <v/>
      </c>
      <c r="I52" s="1" t="n"/>
      <c r="J52" s="1" t="n"/>
      <c r="K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2">
      <c r="A53" s="1" t="n"/>
      <c r="B53" s="1" t="n"/>
      <c r="C53" s="53" t="inlineStr">
        <is>
          <t>**Banco Receptor</t>
        </is>
      </c>
      <c r="D53" s="27" t="inlineStr">
        <is>
          <t>PEIBO</t>
        </is>
      </c>
      <c r="E53" s="1" t="n"/>
      <c r="F53" s="1" t="n"/>
      <c r="G53" s="68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2">
      <c r="A54" s="1" t="n"/>
      <c r="B54" s="1" t="n"/>
      <c r="C54" s="3" t="inlineStr">
        <is>
          <t>**Clabe:</t>
        </is>
      </c>
      <c r="D54" s="54" t="inlineStr">
        <is>
          <t>732010100000078258</t>
        </is>
      </c>
      <c r="E54" s="1" t="n"/>
      <c r="F54" s="1" t="n"/>
      <c r="G54" s="68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2">
      <c r="A55" s="1" t="n"/>
      <c r="B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2" thickBot="1">
      <c r="A56" s="1" t="n"/>
      <c r="B56" s="1" t="n"/>
      <c r="C56" s="15" t="inlineStr">
        <is>
          <t>Cuenta de Retorno</t>
        </is>
      </c>
      <c r="E56" s="1" t="n"/>
      <c r="F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2" thickBot="1">
      <c r="A57" s="1" t="n"/>
      <c r="B57" s="1" t="n"/>
      <c r="C57" s="3" t="inlineStr">
        <is>
          <t>**Nombre Beneficiario</t>
        </is>
      </c>
      <c r="D57" s="55" t="inlineStr">
        <is>
          <t>PROCESOS ITANDER</t>
        </is>
      </c>
      <c r="E57" s="1" t="n"/>
      <c r="F57" s="1" t="n"/>
      <c r="G57" s="79">
        <f>(J33*1%)</f>
        <v/>
      </c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2">
      <c r="A58" s="1" t="n"/>
      <c r="B58" s="1" t="n"/>
      <c r="C58" s="53" t="inlineStr">
        <is>
          <t>**Banco Receptor</t>
        </is>
      </c>
      <c r="D58" s="56" t="inlineStr">
        <is>
          <t>PEIBO</t>
        </is>
      </c>
      <c r="E58" s="1" t="n"/>
      <c r="F58" s="1" t="n"/>
      <c r="G58" s="68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2">
      <c r="A59" s="1" t="n"/>
      <c r="B59" s="1" t="n"/>
      <c r="C59" s="3" t="inlineStr">
        <is>
          <t>**Cuenta:</t>
        </is>
      </c>
      <c r="D59" s="65" t="inlineStr">
        <is>
          <t>732010100000080330</t>
        </is>
      </c>
      <c r="E59" s="28" t="n"/>
      <c r="F59" s="1" t="n"/>
      <c r="G59" s="68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2">
      <c r="A60" s="1" t="n"/>
      <c r="B60" s="1" t="n"/>
      <c r="C60" s="3" t="inlineStr">
        <is>
          <t>**Clabe:</t>
        </is>
      </c>
      <c r="D60" s="54" t="n"/>
      <c r="E60" s="1" t="n"/>
      <c r="F60" s="1" t="n"/>
      <c r="G60" s="68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2" thickBot="1">
      <c r="A61" s="1" t="n"/>
      <c r="B61" s="1" t="n"/>
      <c r="C61" s="15" t="inlineStr">
        <is>
          <t>Cuenta de Retorno</t>
        </is>
      </c>
      <c r="E61" s="1" t="n"/>
      <c r="F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2" thickBot="1">
      <c r="A62" s="1" t="n"/>
      <c r="B62" s="1" t="n"/>
      <c r="C62" s="3" t="inlineStr">
        <is>
          <t>**Nombre Beneficiario</t>
        </is>
      </c>
      <c r="D62" s="55" t="inlineStr">
        <is>
          <t xml:space="preserve">Mobar Capital 1 </t>
        </is>
      </c>
      <c r="E62" s="1" t="n"/>
      <c r="F62" s="1" t="n"/>
      <c r="G62" s="79">
        <f>(J36-G57-G71-G48-G52)/2</f>
        <v/>
      </c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2">
      <c r="A63" s="1" t="n"/>
      <c r="B63" s="1" t="n"/>
      <c r="C63" s="53" t="inlineStr">
        <is>
          <t>**Banco Receptor</t>
        </is>
      </c>
      <c r="D63" s="56" t="inlineStr">
        <is>
          <t>PEIBO</t>
        </is>
      </c>
      <c r="E63" s="1" t="n"/>
      <c r="F63" s="1" t="n"/>
      <c r="G63" s="68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2">
      <c r="A64" s="1" t="n"/>
      <c r="B64" s="1" t="n"/>
      <c r="C64" s="3" t="inlineStr">
        <is>
          <t>**Cuenta:</t>
        </is>
      </c>
      <c r="D64" s="57" t="inlineStr">
        <is>
          <t>732010100000061977</t>
        </is>
      </c>
      <c r="E64" s="1" t="n"/>
      <c r="F64" s="1" t="n"/>
      <c r="G64" s="68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2">
      <c r="A65" s="1" t="n"/>
      <c r="B65" s="1" t="n"/>
      <c r="C65" s="1" t="n"/>
      <c r="D65" s="1" t="n"/>
      <c r="E65" s="1" t="n"/>
      <c r="F65" s="1" t="n"/>
      <c r="G65" s="68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2" thickBot="1">
      <c r="A66" s="1" t="n"/>
      <c r="B66" s="1" t="n"/>
      <c r="C66" s="15" t="inlineStr">
        <is>
          <t>Cuenta de Retorno</t>
        </is>
      </c>
      <c r="E66" s="1" t="n"/>
      <c r="F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2" thickBot="1">
      <c r="A67" s="1" t="n"/>
      <c r="B67" s="1" t="n"/>
      <c r="C67" s="3" t="inlineStr">
        <is>
          <t>**Nombre Beneficiario</t>
        </is>
      </c>
      <c r="D67" s="55" t="inlineStr">
        <is>
          <t>CROWNERMAST ASFI</t>
        </is>
      </c>
      <c r="E67" s="1" t="n"/>
      <c r="F67" s="1" t="n"/>
      <c r="G67" s="79">
        <f>(J36-G57-G71-G48-G52)/2</f>
        <v/>
      </c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2">
      <c r="A68" s="1" t="n"/>
      <c r="B68" s="1" t="n"/>
      <c r="C68" s="53" t="inlineStr">
        <is>
          <t>**Banco Receptor</t>
        </is>
      </c>
      <c r="D68" s="56" t="inlineStr">
        <is>
          <t>PEIBO</t>
        </is>
      </c>
      <c r="E68" s="1" t="n"/>
      <c r="F68" s="1" t="n"/>
      <c r="G68" s="68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2">
      <c r="A69" s="1" t="n"/>
      <c r="B69" s="1" t="n"/>
      <c r="C69" s="3" t="inlineStr">
        <is>
          <t>**Cuenta:</t>
        </is>
      </c>
      <c r="D69" s="57" t="inlineStr">
        <is>
          <t>732010100000055161</t>
        </is>
      </c>
      <c r="E69" s="1" t="n"/>
      <c r="F69" s="1" t="n"/>
      <c r="G69" s="68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2" thickBot="1">
      <c r="A70" s="1" t="n"/>
      <c r="B70" s="1" t="n"/>
      <c r="C70" s="1" t="n"/>
      <c r="D70" s="1" t="n"/>
      <c r="E70" s="1" t="n"/>
      <c r="F70" s="1" t="n"/>
      <c r="G70" s="68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2" thickBot="1">
      <c r="A71" s="1" t="n"/>
      <c r="B71" s="1" t="n"/>
      <c r="C71" s="15" t="inlineStr">
        <is>
          <t>PISO 1.0%</t>
        </is>
      </c>
      <c r="E71" s="1" t="n"/>
      <c r="F71" s="1" t="n"/>
      <c r="G71" s="79">
        <f>J31*1%</f>
        <v/>
      </c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2">
      <c r="A72" s="1" t="n"/>
      <c r="B72" s="1" t="n"/>
      <c r="C72" s="1" t="n"/>
      <c r="D72" s="1" t="n"/>
      <c r="E72" s="1" t="n"/>
      <c r="F72" s="68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2">
      <c r="A73" s="1" t="n"/>
      <c r="B73" s="1" t="n"/>
      <c r="C73" s="1" t="n"/>
      <c r="D73" s="1" t="n"/>
      <c r="E73" s="1" t="n"/>
      <c r="F73" s="68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2">
      <c r="A74" s="1" t="n"/>
      <c r="B74" s="1" t="n"/>
      <c r="C74" s="1" t="n"/>
      <c r="D74" s="1" t="n"/>
      <c r="E74" s="1" t="n"/>
      <c r="F74" s="68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2">
      <c r="A75" s="1" t="n"/>
      <c r="B75" s="1" t="n"/>
      <c r="C75" s="1" t="n"/>
      <c r="D75" s="1" t="n"/>
      <c r="E75" s="1" t="n"/>
      <c r="F75" s="68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2">
      <c r="A76" s="1" t="n"/>
      <c r="B76" s="1" t="n"/>
      <c r="C76" s="1" t="n"/>
      <c r="D76" s="1" t="n"/>
      <c r="E76" s="1" t="n"/>
      <c r="F76" s="68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2">
      <c r="A77" s="1" t="n"/>
      <c r="B77" s="1" t="n"/>
      <c r="C77" s="1" t="n"/>
      <c r="D77" s="1" t="n"/>
      <c r="E77" s="1" t="n"/>
      <c r="F77" s="68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2">
      <c r="A78" s="1" t="n"/>
      <c r="B78" s="1" t="n"/>
      <c r="C78" s="1" t="n"/>
      <c r="D78" s="1" t="n"/>
      <c r="E78" s="1" t="n"/>
      <c r="F78" s="68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2">
      <c r="A79" s="1" t="n"/>
      <c r="B79" s="1" t="n"/>
      <c r="C79" s="1" t="n"/>
      <c r="D79" s="1" t="n"/>
      <c r="E79" s="1" t="n"/>
      <c r="F79" s="68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2">
      <c r="A80" s="1" t="n"/>
      <c r="B80" s="1" t="n"/>
      <c r="C80" s="1" t="n"/>
      <c r="D80" s="1" t="n"/>
      <c r="E80" s="1" t="n"/>
      <c r="F80" s="68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2">
      <c r="A81" s="1" t="n"/>
      <c r="B81" s="1" t="n"/>
      <c r="C81" s="1" t="n"/>
      <c r="D81" s="1" t="n"/>
      <c r="E81" s="1" t="n"/>
      <c r="F81" s="68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2">
      <c r="A82" s="1" t="n"/>
      <c r="B82" s="1" t="n"/>
      <c r="C82" s="1" t="n"/>
      <c r="D82" s="1" t="n"/>
      <c r="E82" s="1" t="n"/>
      <c r="F82" s="68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2">
      <c r="A83" s="1" t="n"/>
      <c r="B83" s="1" t="n"/>
      <c r="C83" s="1" t="n"/>
      <c r="D83" s="1" t="n"/>
      <c r="E83" s="1" t="n"/>
      <c r="F83" s="68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2">
      <c r="A84" s="1" t="n"/>
      <c r="B84" s="1" t="n"/>
      <c r="C84" s="1" t="n"/>
      <c r="D84" s="1" t="n"/>
      <c r="E84" s="1" t="n"/>
      <c r="F84" s="68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2">
      <c r="A85" s="1" t="n"/>
      <c r="B85" s="1" t="n"/>
      <c r="C85" s="1" t="n"/>
      <c r="D85" s="1" t="n"/>
      <c r="E85" s="1" t="n"/>
      <c r="F85" s="68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2">
      <c r="A86" s="1" t="n"/>
      <c r="B86" s="1" t="n"/>
      <c r="C86" s="1" t="n"/>
      <c r="D86" s="1" t="n"/>
      <c r="E86" s="1" t="n"/>
      <c r="F86" s="68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2">
      <c r="A87" s="1" t="n"/>
      <c r="B87" s="1" t="n"/>
      <c r="C87" s="1" t="n"/>
      <c r="D87" s="1" t="n"/>
      <c r="E87" s="1" t="n"/>
      <c r="F87" s="68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2">
      <c r="A88" s="1" t="n"/>
      <c r="B88" s="1" t="n"/>
      <c r="C88" s="1" t="n"/>
      <c r="D88" s="1" t="n"/>
      <c r="E88" s="1" t="n"/>
      <c r="F88" s="68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2">
      <c r="A89" s="1" t="n"/>
      <c r="B89" s="1" t="n"/>
      <c r="C89" s="1" t="n"/>
      <c r="D89" s="1" t="n"/>
      <c r="E89" s="1" t="n"/>
      <c r="F89" s="68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2">
      <c r="A90" s="1" t="n"/>
      <c r="B90" s="1" t="n"/>
      <c r="C90" s="1" t="n"/>
      <c r="D90" s="1" t="n"/>
      <c r="E90" s="1" t="n"/>
      <c r="F90" s="68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</sheetData>
  <mergeCells count="8">
    <mergeCell ref="C47:D47"/>
    <mergeCell ref="G35:J35"/>
    <mergeCell ref="C6:J6"/>
    <mergeCell ref="C71:D71"/>
    <mergeCell ref="C42:D42"/>
    <mergeCell ref="C66:D66"/>
    <mergeCell ref="C61:D61"/>
    <mergeCell ref="C56:D56"/>
  </mergeCells>
  <pageMargins left="0.25" right="0.25" top="0.75" bottom="0.75" header="0" footer="0"/>
  <pageSetup orientation="portrait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1796875" defaultRowHeight="15" customHeight="1"/>
  <cols>
    <col width="52.3125" customWidth="1" style="62" min="1" max="1"/>
    <col width="10.68359375" customWidth="1" style="62" min="2" max="2"/>
    <col width="88.89453125" customWidth="1" style="62" min="3" max="3"/>
    <col width="10.68359375" customWidth="1" style="62" min="4" max="4"/>
    <col width="85.89453125" customWidth="1" style="62" min="5" max="5"/>
    <col width="10.68359375" customWidth="1" style="62" min="6" max="6"/>
    <col width="35" customWidth="1" style="62" min="7" max="7"/>
    <col width="10.68359375" customWidth="1" style="62" min="8" max="8"/>
    <col width="35.68359375" customWidth="1" style="62" min="9" max="9"/>
    <col width="10.68359375" customWidth="1" style="62" min="10" max="26"/>
  </cols>
  <sheetData>
    <row r="1" ht="14.4" customHeight="1" s="62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2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2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2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2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2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2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2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2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2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2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2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2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2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2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2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2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2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2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2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2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2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2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2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2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2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2">
      <c r="A27" s="12" t="inlineStr">
        <is>
          <t>FOOD MAX MINIMARKET</t>
        </is>
      </c>
    </row>
    <row r="28" ht="15.75" customHeight="1" s="62">
      <c r="A28" s="12" t="inlineStr">
        <is>
          <t>QAERSORS</t>
        </is>
      </c>
    </row>
    <row r="29" ht="15.75" customHeight="1" s="62">
      <c r="A29" s="12" t="inlineStr">
        <is>
          <t>KUBERGANYA COMERCIALIZADORA MEDICA</t>
        </is>
      </c>
    </row>
    <row r="30" ht="15.75" customHeight="1" s="62">
      <c r="A30" s="12" t="inlineStr">
        <is>
          <t>FRUCTIBURT CONSTRUCCIONES</t>
        </is>
      </c>
    </row>
    <row r="31" ht="15.75" customHeight="1" s="62">
      <c r="A31" s="12" t="inlineStr">
        <is>
          <t>TROUAPOU</t>
        </is>
      </c>
    </row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2026-06-22T19:34:04Z</dcterms:modified>
  <cp:lastModifiedBy>Admin</cp:lastModifiedBy>
</cp:coreProperties>
</file>