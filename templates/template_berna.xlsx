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Factura" sheetId="1" state="visible" r:id="rId1"/>
    <sheet xmlns:r="http://schemas.openxmlformats.org/officeDocument/2006/relationships" name="Hoja1" sheetId="2" state="visible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1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5" tint="-0.499984740745262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b val="1"/>
      <color theme="1"/>
      <sz val="11"/>
    </font>
    <font>
      <name val="Arial"/>
      <family val="2"/>
      <color rgb="FF333333"/>
      <sz val="9"/>
    </font>
    <font>
      <name val="Calibri"/>
      <family val="2"/>
      <b val="1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23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/>
    </xf>
    <xf numFmtId="0" fontId="5" fillId="3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right"/>
    </xf>
    <xf numFmtId="0" fontId="5" fillId="3" borderId="7" pivotButton="0" quotePrefix="0" xfId="0"/>
    <xf numFmtId="0" fontId="5" fillId="3" borderId="0" applyAlignment="1" pivotButton="0" quotePrefix="0" xfId="0">
      <alignment horizontal="right"/>
    </xf>
    <xf numFmtId="164" fontId="5" fillId="3" borderId="2" pivotButton="0" quotePrefix="0" xfId="1"/>
    <xf numFmtId="164" fontId="5" fillId="3" borderId="2" pivotButton="0" quotePrefix="0" xfId="0"/>
    <xf numFmtId="164" fontId="5" fillId="3" borderId="10" pivotButton="0" quotePrefix="0" xfId="0"/>
    <xf numFmtId="0" fontId="5" fillId="3" borderId="2" pivotButton="0" quotePrefix="0" xfId="0"/>
    <xf numFmtId="0" fontId="5" fillId="3" borderId="10" pivotButton="0" quotePrefix="0" xfId="0"/>
    <xf numFmtId="0" fontId="2" fillId="3" borderId="12" applyAlignment="1" pivotButton="0" quotePrefix="0" xfId="0">
      <alignment horizontal="right" vertical="center" wrapText="1"/>
    </xf>
    <xf numFmtId="0" fontId="2" fillId="3" borderId="13" applyAlignment="1" pivotButton="0" quotePrefix="0" xfId="0">
      <alignment horizontal="right" vertical="center"/>
    </xf>
    <xf numFmtId="0" fontId="5" fillId="3" borderId="14" applyAlignment="1" pivotButton="0" quotePrefix="0" xfId="0">
      <alignment horizontal="left" vertical="center"/>
    </xf>
    <xf numFmtId="0" fontId="2" fillId="3" borderId="15" applyAlignment="1" pivotButton="0" quotePrefix="0" xfId="0">
      <alignment horizontal="right" vertical="center" wrapText="1"/>
    </xf>
    <xf numFmtId="0" fontId="2" fillId="3" borderId="11" applyAlignment="1" pivotButton="0" quotePrefix="0" xfId="0">
      <alignment horizontal="right" vertical="center"/>
    </xf>
    <xf numFmtId="0" fontId="5" fillId="3" borderId="16" applyAlignment="1" pivotButton="0" quotePrefix="0" xfId="0">
      <alignment horizontal="left" vertical="center"/>
    </xf>
    <xf numFmtId="0" fontId="2" fillId="3" borderId="17" applyAlignment="1" pivotButton="0" quotePrefix="0" xfId="0">
      <alignment horizontal="right" vertical="center" wrapText="1"/>
    </xf>
    <xf numFmtId="0" fontId="2" fillId="3" borderId="18" applyAlignment="1" pivotButton="0" quotePrefix="0" xfId="0">
      <alignment horizontal="right" vertical="center"/>
    </xf>
    <xf numFmtId="0" fontId="5" fillId="3" borderId="19" applyAlignment="1" pivotButton="0" quotePrefix="0" xfId="0">
      <alignment horizontal="left" vertical="center"/>
    </xf>
    <xf numFmtId="0" fontId="5" fillId="3" borderId="9" applyAlignment="1" pivotButton="0" quotePrefix="0" xfId="0">
      <alignment horizontal="right"/>
    </xf>
    <xf numFmtId="0" fontId="2" fillId="3" borderId="12" applyAlignment="1" pivotButton="0" quotePrefix="0" xfId="0">
      <alignment vertical="center"/>
    </xf>
    <xf numFmtId="0" fontId="2" fillId="3" borderId="15" applyAlignment="1" pivotButton="0" quotePrefix="0" xfId="0">
      <alignment vertical="center"/>
    </xf>
    <xf numFmtId="0" fontId="2" fillId="3" borderId="17" applyAlignment="1" pivotButton="0" quotePrefix="0" xfId="0">
      <alignment vertical="center"/>
    </xf>
    <xf numFmtId="0" fontId="2" fillId="3" borderId="0" pivotButton="0" quotePrefix="0" xfId="0"/>
    <xf numFmtId="0" fontId="2" fillId="3" borderId="13" applyAlignment="1" pivotButton="0" quotePrefix="0" xfId="0">
      <alignment vertical="center"/>
    </xf>
    <xf numFmtId="0" fontId="2" fillId="3" borderId="22" applyAlignment="1" pivotButton="0" quotePrefix="0" xfId="0">
      <alignment vertical="center"/>
    </xf>
    <xf numFmtId="0" fontId="7" fillId="5" borderId="0" pivotButton="0" quotePrefix="0" xfId="0"/>
    <xf numFmtId="164" fontId="7" fillId="5" borderId="0" pivotButton="0" quotePrefix="0" xfId="1"/>
    <xf numFmtId="10" fontId="7" fillId="5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1">
      <alignment vertical="center"/>
    </xf>
    <xf numFmtId="0" fontId="8" fillId="0" borderId="0" applyAlignment="1" pivotButton="0" quotePrefix="0" xfId="0">
      <alignment vertical="center"/>
    </xf>
    <xf numFmtId="164" fontId="5" fillId="3" borderId="0" applyAlignment="1" pivotButton="0" quotePrefix="0" xfId="1">
      <alignment horizontal="center"/>
    </xf>
    <xf numFmtId="0" fontId="8" fillId="6" borderId="0" applyAlignment="1" pivotButton="0" quotePrefix="0" xfId="0">
      <alignment horizontal="right"/>
    </xf>
    <xf numFmtId="164" fontId="8" fillId="6" borderId="0" pivotButton="0" quotePrefix="0" xfId="0"/>
    <xf numFmtId="0" fontId="2" fillId="3" borderId="0" applyAlignment="1" pivotButton="0" quotePrefix="0" xfId="0">
      <alignment horizontal="center"/>
    </xf>
    <xf numFmtId="164" fontId="5" fillId="3" borderId="0" pivotButton="0" quotePrefix="0" xfId="0"/>
    <xf numFmtId="164" fontId="2" fillId="3" borderId="0" pivotButton="0" quotePrefix="0" xfId="0"/>
    <xf numFmtId="0" fontId="5" fillId="3" borderId="0" applyAlignment="1" pivotButton="0" quotePrefix="0" xfId="0">
      <alignment horizontal="left"/>
    </xf>
    <xf numFmtId="10" fontId="0" fillId="0" borderId="0" pivotButton="0" quotePrefix="0" xfId="0"/>
    <xf numFmtId="164" fontId="0" fillId="0" borderId="0" pivotButton="0" quotePrefix="0" xfId="1"/>
    <xf numFmtId="9" fontId="0" fillId="0" borderId="0" pivotButton="0" quotePrefix="0" xfId="0"/>
    <xf numFmtId="0" fontId="0" fillId="7" borderId="0" pivotButton="0" quotePrefix="0" xfId="0"/>
    <xf numFmtId="164" fontId="0" fillId="7" borderId="0" pivotButton="0" quotePrefix="0" xfId="1"/>
    <xf numFmtId="0" fontId="12" fillId="0" borderId="0" pivotButton="0" quotePrefix="0" xfId="0"/>
    <xf numFmtId="164" fontId="12" fillId="0" borderId="0" pivotButton="0" quotePrefix="0" xfId="1"/>
    <xf numFmtId="0" fontId="5" fillId="0" borderId="0" applyAlignment="1" pivotButton="0" quotePrefix="0" xfId="0">
      <alignment wrapText="1"/>
    </xf>
    <xf numFmtId="9" fontId="5" fillId="0" borderId="0" applyAlignment="1" pivotButton="0" quotePrefix="0" xfId="0">
      <alignment horizontal="center"/>
    </xf>
    <xf numFmtId="1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1"/>
    <xf numFmtId="164" fontId="11" fillId="0" borderId="0" pivotButton="0" quotePrefix="0" xfId="1"/>
    <xf numFmtId="164" fontId="5" fillId="0" borderId="0" pivotButton="0" quotePrefix="0" xfId="0"/>
    <xf numFmtId="164" fontId="5" fillId="0" borderId="0" pivotButton="0" quotePrefix="0" xfId="2"/>
    <xf numFmtId="164" fontId="2" fillId="0" borderId="0" pivotButton="0" quotePrefix="0" xfId="1"/>
    <xf numFmtId="0" fontId="5" fillId="0" borderId="0" applyAlignment="1" pivotButton="0" quotePrefix="0" xfId="0">
      <alignment horizontal="right"/>
    </xf>
    <xf numFmtId="0" fontId="3" fillId="3" borderId="0" pivotButton="0" quotePrefix="0" xfId="0"/>
    <xf numFmtId="0" fontId="5" fillId="3" borderId="20" applyAlignment="1" pivotButton="0" quotePrefix="0" xfId="0">
      <alignment horizontal="center" vertical="center"/>
    </xf>
    <xf numFmtId="0" fontId="5" fillId="3" borderId="21" applyAlignment="1" pivotButton="0" quotePrefix="0" xfId="0">
      <alignment horizontal="center" vertical="center"/>
    </xf>
    <xf numFmtId="0" fontId="4" fillId="2" borderId="8" applyAlignment="1" pivotButton="0" quotePrefix="0" xfId="0">
      <alignment horizontal="right"/>
    </xf>
    <xf numFmtId="0" fontId="4" fillId="2" borderId="9" applyAlignment="1" pivotButton="0" quotePrefix="0" xfId="0">
      <alignment horizontal="right"/>
    </xf>
    <xf numFmtId="0" fontId="6" fillId="4" borderId="3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11" applyAlignment="1" pivotButton="0" quotePrefix="0" xfId="0">
      <alignment horizontal="left" vertical="center"/>
    </xf>
    <xf numFmtId="0" fontId="5" fillId="3" borderId="18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5" fillId="3" borderId="13" pivotButton="0" quotePrefix="0" xfId="0"/>
    <xf numFmtId="0" fontId="5" fillId="3" borderId="14" pivotButton="0" quotePrefix="0" xfId="0"/>
    <xf numFmtId="0" fontId="5" fillId="3" borderId="11" pivotButton="0" quotePrefix="0" xfId="0"/>
    <xf numFmtId="0" fontId="5" fillId="3" borderId="16" pivotButton="0" quotePrefix="0" xfId="0"/>
    <xf numFmtId="0" fontId="5" fillId="3" borderId="18" applyAlignment="1" pivotButton="0" quotePrefix="0" xfId="0">
      <alignment horizontal="center"/>
    </xf>
    <xf numFmtId="0" fontId="5" fillId="3" borderId="19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3" borderId="0" applyAlignment="1" pivotButton="0" quotePrefix="0" xfId="0">
      <alignment horizontal="left" wrapText="1"/>
    </xf>
    <xf numFmtId="0" fontId="5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1">
      <alignment horizontal="center"/>
    </xf>
    <xf numFmtId="164" fontId="5" fillId="3" borderId="0" applyAlignment="1" pivotButton="0" quotePrefix="0" xfId="1">
      <alignment horizontal="center"/>
    </xf>
    <xf numFmtId="0" fontId="5" fillId="3" borderId="0" applyAlignment="1" pivotButton="0" quotePrefix="1" xfId="0">
      <alignment horizontal="center"/>
    </xf>
    <xf numFmtId="0" fontId="6" fillId="4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21" pivotButton="0" quotePrefix="0" xfId="0"/>
    <xf numFmtId="164" fontId="7" fillId="5" borderId="0" pivotButton="0" quotePrefix="0" xfId="1"/>
    <xf numFmtId="0" fontId="0" fillId="0" borderId="25" pivotButton="0" quotePrefix="0" xfId="0"/>
    <xf numFmtId="0" fontId="0" fillId="0" borderId="26" pivotButton="0" quotePrefix="0" xfId="0"/>
    <xf numFmtId="164" fontId="8" fillId="6" borderId="0" pivotButton="0" quotePrefix="0" xfId="0"/>
    <xf numFmtId="0" fontId="0" fillId="0" borderId="27" pivotButton="0" quotePrefix="0" xfId="0"/>
    <xf numFmtId="0" fontId="0" fillId="0" borderId="28" pivotButton="0" quotePrefix="0" xfId="0"/>
    <xf numFmtId="164" fontId="8" fillId="0" borderId="0" pivotButton="0" quotePrefix="0" xfId="0"/>
    <xf numFmtId="164" fontId="5" fillId="3" borderId="1" applyAlignment="1" pivotButton="0" quotePrefix="0" xfId="1">
      <alignment vertical="center"/>
    </xf>
    <xf numFmtId="0" fontId="0" fillId="0" borderId="22" pivotButton="0" quotePrefix="0" xfId="0"/>
    <xf numFmtId="0" fontId="5" fillId="3" borderId="1" applyAlignment="1" pivotButton="0" quotePrefix="0" xfId="0">
      <alignment horizontal="center"/>
    </xf>
    <xf numFmtId="164" fontId="5" fillId="3" borderId="2" pivotButton="0" quotePrefix="0" xfId="1"/>
    <xf numFmtId="164" fontId="5" fillId="3" borderId="2" pivotButton="0" quotePrefix="0" xfId="0"/>
    <xf numFmtId="0" fontId="0" fillId="0" borderId="9" pivotButton="0" quotePrefix="0" xfId="0"/>
    <xf numFmtId="164" fontId="5" fillId="3" borderId="10" pivotButton="0" quotePrefix="0" xfId="0"/>
    <xf numFmtId="164" fontId="5" fillId="3" borderId="0" pivotButton="0" quotePrefix="0" xfId="0"/>
    <xf numFmtId="164" fontId="5" fillId="3" borderId="0" applyAlignment="1" pivotButton="0" quotePrefix="0" xfId="1">
      <alignment horizontal="center"/>
    </xf>
    <xf numFmtId="164" fontId="2" fillId="3" borderId="0" applyAlignment="1" pivotButton="0" quotePrefix="0" xfId="1">
      <alignment horizontal="center"/>
    </xf>
    <xf numFmtId="164" fontId="2" fillId="3" borderId="0" pivotButton="0" quotePrefix="0" xfId="0"/>
    <xf numFmtId="164" fontId="5" fillId="0" borderId="0" pivotButton="0" quotePrefix="0" xfId="1"/>
    <xf numFmtId="164" fontId="11" fillId="0" borderId="0" pivotButton="0" quotePrefix="0" xfId="1"/>
    <xf numFmtId="164" fontId="5" fillId="0" borderId="0" pivotButton="0" quotePrefix="0" xfId="0"/>
    <xf numFmtId="164" fontId="5" fillId="0" borderId="0" pivotButton="0" quotePrefix="0" xfId="2"/>
    <xf numFmtId="164" fontId="2" fillId="0" borderId="0" pivotButton="0" quotePrefix="0" xfId="1"/>
    <xf numFmtId="164" fontId="0" fillId="0" borderId="0" pivotButton="0" quotePrefix="0" xfId="1"/>
    <xf numFmtId="164" fontId="0" fillId="7" borderId="0" pivotButton="0" quotePrefix="0" xfId="1"/>
    <xf numFmtId="164" fontId="12" fillId="0" borderId="0" pivotButton="0" quotePrefix="0" xfId="1"/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47"/>
  <sheetViews>
    <sheetView showGridLines="0" tabSelected="1" topLeftCell="A6" zoomScaleNormal="100" workbookViewId="0">
      <selection activeCell="C16" sqref="C16:D16"/>
    </sheetView>
  </sheetViews>
  <sheetFormatPr baseColWidth="10" defaultColWidth="11.19921875" defaultRowHeight="13.2"/>
  <cols>
    <col width="6" customWidth="1" style="3" min="1" max="1"/>
    <col width="15.59765625" customWidth="1" style="3" min="2" max="2"/>
    <col width="17.3984375" customWidth="1" style="3" min="3" max="3"/>
    <col width="22.09765625" bestFit="1" customWidth="1" style="3" min="4" max="4"/>
    <col width="15.3984375" customWidth="1" style="3" min="5" max="5"/>
    <col width="41.8984375" customWidth="1" style="3" min="6" max="6"/>
    <col width="15.19921875" customWidth="1" style="3" min="7" max="7"/>
    <col width="15.69921875" customWidth="1" style="3" min="8" max="8"/>
    <col width="11.19921875" customWidth="1" style="3" min="9" max="10"/>
    <col width="36.59765625" bestFit="1" customWidth="1" style="3" min="11" max="11"/>
    <col width="13.59765625" bestFit="1" customWidth="1" style="3" min="12" max="12"/>
    <col width="11.19921875" customWidth="1" style="3" min="13" max="16384"/>
  </cols>
  <sheetData>
    <row r="2">
      <c r="B2" s="93" t="inlineStr">
        <is>
          <t>SOLICTUD DE FACTURACION CORPORATIVO FISCAL GP CFDI 4.0</t>
        </is>
      </c>
      <c r="C2" s="94" t="n"/>
      <c r="D2" s="94" t="n"/>
      <c r="E2" s="94" t="n"/>
      <c r="F2" s="94" t="n"/>
      <c r="G2" s="94" t="n"/>
      <c r="H2" s="95" t="n"/>
    </row>
    <row r="3">
      <c r="A3" s="74" t="n"/>
    </row>
    <row r="4" ht="26.4" customHeight="1">
      <c r="B4" s="4" t="inlineStr">
        <is>
          <t>*EMISOR (PROVEEDOR):</t>
        </is>
      </c>
      <c r="C4" s="77" t="n"/>
      <c r="D4" s="94" t="n"/>
      <c r="E4" s="94" t="n"/>
      <c r="F4" s="94" t="n"/>
      <c r="G4" s="94" t="n"/>
      <c r="H4" s="95" t="n"/>
    </row>
    <row r="5" ht="14.4" customHeight="1">
      <c r="A5" s="74" t="n"/>
    </row>
    <row r="6" ht="26.4" customHeight="1">
      <c r="B6" s="13" t="inlineStr">
        <is>
          <t>*RECEPTOR (Cliente):</t>
        </is>
      </c>
      <c r="C6" s="67" t="n"/>
      <c r="D6" s="96" t="n"/>
      <c r="E6" s="28" t="inlineStr">
        <is>
          <t>Regimen Fiscal:</t>
        </is>
      </c>
      <c r="F6" s="27" t="n"/>
      <c r="G6" s="14" t="inlineStr">
        <is>
          <t>*Num. Exterior:</t>
        </is>
      </c>
      <c r="H6" s="15" t="n"/>
      <c r="K6" s="29" t="inlineStr">
        <is>
          <t xml:space="preserve">EL TOTAL DE LA FACTURA ES DE </t>
        </is>
      </c>
      <c r="L6" s="97">
        <f>H17</f>
        <v/>
      </c>
    </row>
    <row r="7" ht="14.4" customHeight="1">
      <c r="B7" s="16" t="inlineStr">
        <is>
          <t>*RFC:</t>
        </is>
      </c>
      <c r="C7" s="75" t="n"/>
      <c r="D7" s="98" t="n"/>
      <c r="E7" s="98" t="n"/>
      <c r="F7" s="99" t="n"/>
      <c r="G7" s="17" t="inlineStr">
        <is>
          <t>*Interior:</t>
        </is>
      </c>
      <c r="H7" s="18" t="n"/>
      <c r="K7" s="29" t="inlineStr">
        <is>
          <t>PORCENTAJE DE COMISION</t>
        </is>
      </c>
      <c r="L7" s="31" t="n">
        <v>0.045</v>
      </c>
    </row>
    <row r="8" ht="14.4" customHeight="1">
      <c r="B8" s="16" t="inlineStr">
        <is>
          <t>*Calle:</t>
        </is>
      </c>
      <c r="C8" s="75" t="n"/>
      <c r="D8" s="98" t="n"/>
      <c r="E8" s="98" t="n"/>
      <c r="F8" s="99" t="n"/>
      <c r="G8" s="17" t="inlineStr">
        <is>
          <t>*Codigo Postal:</t>
        </is>
      </c>
      <c r="H8" s="18" t="n"/>
      <c r="K8" s="29" t="inlineStr">
        <is>
          <t>TOTAL COMISION</t>
        </is>
      </c>
      <c r="L8" s="97">
        <f>+L6*L7</f>
        <v/>
      </c>
    </row>
    <row r="9" ht="14.4" customHeight="1">
      <c r="B9" s="16" t="inlineStr">
        <is>
          <t>*Colonia:</t>
        </is>
      </c>
      <c r="C9" s="75" t="n"/>
      <c r="D9" s="98" t="n"/>
      <c r="E9" s="98" t="n"/>
      <c r="F9" s="99" t="n"/>
      <c r="G9" s="17" t="inlineStr">
        <is>
          <t>*Ciudad:</t>
        </is>
      </c>
      <c r="H9" s="18" t="inlineStr">
        <is>
          <t>MANZANILLO</t>
        </is>
      </c>
      <c r="K9" s="42" t="inlineStr">
        <is>
          <t>RETORNO CLIENTE=</t>
        </is>
      </c>
      <c r="L9" s="100">
        <f>+L6-L8</f>
        <v/>
      </c>
    </row>
    <row r="10" ht="14.4" customHeight="1">
      <c r="B10" s="19" t="inlineStr">
        <is>
          <t>*Estado:</t>
        </is>
      </c>
      <c r="C10" s="76" t="n"/>
      <c r="D10" s="101" t="n"/>
      <c r="E10" s="101" t="n"/>
      <c r="F10" s="102" t="n"/>
      <c r="G10" s="20" t="inlineStr">
        <is>
          <t>*País:</t>
        </is>
      </c>
      <c r="H10" s="21" t="inlineStr">
        <is>
          <t>MEXICO</t>
        </is>
      </c>
      <c r="K10" s="32" t="n"/>
      <c r="L10" s="103" t="n"/>
    </row>
    <row r="11" ht="14.4" customHeight="1">
      <c r="A11" s="74" t="n"/>
      <c r="K11" s="32" t="n"/>
      <c r="L11" s="32" t="n"/>
    </row>
    <row r="12" ht="26.4" customHeight="1">
      <c r="B12" s="1" t="inlineStr">
        <is>
          <t>*Cantidad</t>
        </is>
      </c>
      <c r="C12" s="1" t="inlineStr">
        <is>
          <t>*Unidad de Medida</t>
        </is>
      </c>
      <c r="D12" s="1" t="inlineStr">
        <is>
          <t>*Clave Unidad de Medida</t>
        </is>
      </c>
      <c r="E12" s="1" t="inlineStr">
        <is>
          <t>*Clave Producto SAT</t>
        </is>
      </c>
      <c r="F12" s="1" t="inlineStr">
        <is>
          <t>*Descripcion o Concepto</t>
        </is>
      </c>
      <c r="G12" s="1" t="inlineStr">
        <is>
          <t>*Precio Unitario</t>
        </is>
      </c>
      <c r="H12" s="1" t="inlineStr">
        <is>
          <t>*Subtotal</t>
        </is>
      </c>
      <c r="K12" s="32" t="n"/>
      <c r="L12" s="32" t="n"/>
    </row>
    <row r="13" ht="26.4" customFormat="1" customHeight="1" s="35">
      <c r="B13" s="36" t="n"/>
      <c r="C13" s="36" t="n"/>
      <c r="D13" s="37" t="n"/>
      <c r="E13" s="37" t="n"/>
      <c r="F13" s="38" t="n"/>
      <c r="G13" s="104" t="n"/>
      <c r="H13" s="104">
        <f>B13*G13</f>
        <v/>
      </c>
      <c r="K13" s="40" t="n"/>
      <c r="L13" s="40" t="n"/>
    </row>
    <row r="14" ht="15.6" customHeight="1">
      <c r="B14" s="23" t="inlineStr">
        <is>
          <t>*Forma de pago:</t>
        </is>
      </c>
      <c r="C14" s="78" t="n"/>
      <c r="D14" s="105" t="n"/>
      <c r="E14" s="5" t="n"/>
      <c r="F14" s="6" t="inlineStr">
        <is>
          <t>.</t>
        </is>
      </c>
      <c r="G14" s="106" t="n"/>
      <c r="H14" s="95" t="n"/>
      <c r="K14" s="32" t="n"/>
      <c r="L14" s="103" t="n"/>
    </row>
    <row r="15" ht="15.6" customHeight="1">
      <c r="B15" s="24" t="inlineStr">
        <is>
          <t>*Método de pago:</t>
        </is>
      </c>
      <c r="C15" s="80" t="n"/>
      <c r="D15" s="99" t="n"/>
      <c r="E15" s="7" t="n"/>
      <c r="F15" s="11" t="n"/>
      <c r="G15" s="2" t="inlineStr">
        <is>
          <t>Subtotal</t>
        </is>
      </c>
      <c r="H15" s="107">
        <f>SUM(H13:H13)</f>
        <v/>
      </c>
      <c r="K15" s="32" t="n"/>
      <c r="L15" s="103" t="n"/>
    </row>
    <row r="16" ht="15.6" customHeight="1">
      <c r="B16" s="25" t="inlineStr">
        <is>
          <t>*Uso del CFDI:</t>
        </is>
      </c>
      <c r="C16" s="82" t="n"/>
      <c r="D16" s="102" t="n"/>
      <c r="E16" s="22" t="n"/>
      <c r="F16" s="12" t="n"/>
      <c r="G16" s="2" t="inlineStr">
        <is>
          <t>IVA 16%</t>
        </is>
      </c>
      <c r="H16" s="108">
        <f>H15*0.16</f>
        <v/>
      </c>
      <c r="K16" s="32" t="n"/>
      <c r="L16" s="103" t="n"/>
    </row>
    <row r="17" ht="13.95" customHeight="1">
      <c r="B17" s="69" t="inlineStr">
        <is>
          <t>TOTAL FACTURA</t>
        </is>
      </c>
      <c r="C17" s="109" t="n"/>
      <c r="D17" s="109" t="n"/>
      <c r="E17" s="109" t="n"/>
      <c r="F17" s="109" t="n"/>
      <c r="G17" s="109" t="n"/>
      <c r="H17" s="110">
        <f>SUM(H15:H16)</f>
        <v/>
      </c>
    </row>
    <row r="19">
      <c r="B19" s="26" t="inlineStr">
        <is>
          <t>IMPORTANTE:</t>
        </is>
      </c>
    </row>
    <row r="20">
      <c r="B20" s="88" t="inlineStr">
        <is>
          <t>* REQUISITAR DE MANERA OBLIGATORIA TODOS LOS CAMPOS MARCADOS EN (ASTERISCO) *</t>
        </is>
      </c>
      <c r="I20" s="111" t="n"/>
    </row>
    <row r="21">
      <c r="B21" s="88" t="inlineStr">
        <is>
          <t xml:space="preserve">* OBLIGATORIO REQUISITAR EL DOMICILIO FISCAL ACORDE A LA CONSTANCIA DE SITUACION FISCAL </t>
        </is>
      </c>
    </row>
    <row r="22">
      <c r="B22" s="88" t="inlineStr">
        <is>
          <t>* AL ENVIAR LA SOLICITUD ES OBLIGATORIO ANEXAR LA CONSTACIA DE SITUACION FISCAL ACORDE AL MES EN CURSO</t>
        </is>
      </c>
    </row>
    <row r="23">
      <c r="B23" s="88" t="inlineStr">
        <is>
          <t>* SE ADJUNTA VISTA PREVIA ANTES DE SU RESPECTIVO TIMBRADO Y CON PREVIA AUTORIZACION SE REALIZARA EL TIMBRADO</t>
        </is>
      </c>
    </row>
    <row r="24">
      <c r="B24" s="88" t="inlineStr">
        <is>
          <t>* ES IMPORTANTE ESPECIFICAR LA FORMA DE PAGO, METODO DE PAGO Y EL USO DE CFDI DE ACUERDO AL PRODUCTO O SERVICIO SOLICITADO</t>
        </is>
      </c>
    </row>
    <row r="25" ht="27.6" customHeight="1">
      <c r="B25" s="87" t="n"/>
    </row>
    <row r="26" ht="13.8" customHeight="1">
      <c r="B26" s="86" t="inlineStr">
        <is>
          <t>RETORNO CLIENTE</t>
        </is>
      </c>
    </row>
    <row r="27">
      <c r="B27" s="89" t="inlineStr">
        <is>
          <t>NOMBRE</t>
        </is>
      </c>
      <c r="D27" s="89" t="inlineStr">
        <is>
          <t>IMPORTE</t>
        </is>
      </c>
      <c r="F27" s="89" t="inlineStr">
        <is>
          <t>CLABE</t>
        </is>
      </c>
      <c r="H27" s="89" t="inlineStr">
        <is>
          <t>BANCO</t>
        </is>
      </c>
    </row>
    <row r="28">
      <c r="B28" s="74" t="inlineStr">
        <is>
          <t>LUIS VELASQUEZ FONDEADORA</t>
        </is>
      </c>
      <c r="D28" s="112">
        <f>L9</f>
        <v/>
      </c>
      <c r="F28" s="92" t="inlineStr">
        <is>
          <t>699 180 0000 1023 4142</t>
        </is>
      </c>
      <c r="H28" s="74" t="inlineStr">
        <is>
          <t>FONDEADORA</t>
        </is>
      </c>
      <c r="J28" s="66" t="n"/>
    </row>
    <row r="29" ht="15.75" customHeight="1">
      <c r="B29" s="74" t="n"/>
      <c r="C29" s="74" t="n"/>
      <c r="D29" s="113">
        <f>SUM(D28:E28)</f>
        <v/>
      </c>
      <c r="F29" s="74" t="n"/>
      <c r="G29" s="74" t="n"/>
      <c r="H29" s="74" t="n"/>
      <c r="J29" s="66" t="n"/>
    </row>
    <row r="30">
      <c r="B30" s="74" t="n"/>
      <c r="C30" s="74" t="n"/>
      <c r="D30" s="112" t="n"/>
      <c r="E30" s="112" t="n"/>
      <c r="F30" s="74" t="n"/>
      <c r="G30" s="74" t="n"/>
      <c r="H30" s="74" t="n"/>
    </row>
    <row r="31" ht="13.8" customHeight="1">
      <c r="B31" s="86" t="inlineStr">
        <is>
          <t>DESGLOSE COMISIÓN 4.5%</t>
        </is>
      </c>
    </row>
    <row r="32">
      <c r="B32" s="89" t="inlineStr">
        <is>
          <t>NOMBRE</t>
        </is>
      </c>
      <c r="D32" s="89" t="inlineStr">
        <is>
          <t>PORCENTAJE</t>
        </is>
      </c>
      <c r="E32" s="26" t="inlineStr">
        <is>
          <t>IMPORTE</t>
        </is>
      </c>
      <c r="F32" s="89" t="inlineStr">
        <is>
          <t>CLABE</t>
        </is>
      </c>
      <c r="H32" s="89" t="inlineStr">
        <is>
          <t>BANCO</t>
        </is>
      </c>
    </row>
    <row r="33">
      <c r="B33" s="74" t="inlineStr">
        <is>
          <t>VERDUZCO</t>
        </is>
      </c>
      <c r="D33" s="88" t="inlineStr">
        <is>
          <t>2.6% SUBTOTAL</t>
        </is>
      </c>
      <c r="E33" s="111">
        <f>H15*2.6%</f>
        <v/>
      </c>
      <c r="F33" s="74" t="inlineStr">
        <is>
          <t>NA</t>
        </is>
      </c>
      <c r="H33" s="74" t="inlineStr">
        <is>
          <t>NA</t>
        </is>
      </c>
    </row>
    <row r="34">
      <c r="B34" s="74" t="inlineStr">
        <is>
          <t>LUIS BERNARDO VELASQUEZ QUIÑONEZ</t>
        </is>
      </c>
      <c r="D34" s="3" t="inlineStr">
        <is>
          <t>1.5% TOTAL</t>
        </is>
      </c>
      <c r="E34" s="111">
        <f>(H17*1.5%)</f>
        <v/>
      </c>
      <c r="F34" s="92" t="inlineStr">
        <is>
          <t>0620 9000 8096 3687 93</t>
        </is>
      </c>
      <c r="H34" s="74" t="inlineStr">
        <is>
          <t>AFIRME</t>
        </is>
      </c>
    </row>
    <row r="36">
      <c r="D36" s="3" t="inlineStr">
        <is>
          <t>REMANENTE</t>
        </is>
      </c>
      <c r="E36" s="111">
        <f>L8-E33-E34</f>
        <v/>
      </c>
    </row>
    <row r="37">
      <c r="B37" s="74" t="inlineStr">
        <is>
          <t>AGROSERVICIOS PATENVILLE 15</t>
        </is>
      </c>
      <c r="D37" s="3" t="inlineStr">
        <is>
          <t>50% DEL REMANENTE</t>
        </is>
      </c>
      <c r="E37" s="111">
        <f>E36*50%</f>
        <v/>
      </c>
      <c r="F37" s="92" t="inlineStr">
        <is>
          <t>6531 8000 3810 1162 83</t>
        </is>
      </c>
      <c r="H37" s="74" t="inlineStr">
        <is>
          <t>KUSPIT</t>
        </is>
      </c>
    </row>
    <row r="38">
      <c r="B38" s="74" t="inlineStr">
        <is>
          <t xml:space="preserve">MOBAR CAPITAL SAPI DE CV </t>
        </is>
      </c>
      <c r="D38" s="3" t="inlineStr">
        <is>
          <t>50% DEL REMANENTE</t>
        </is>
      </c>
      <c r="E38" s="111">
        <f>(E36/2)</f>
        <v/>
      </c>
      <c r="F38" s="92" t="inlineStr">
        <is>
          <t>6531 8000 3810 1869 67</t>
        </is>
      </c>
      <c r="H38" s="74" t="inlineStr">
        <is>
          <t>KUSPIT</t>
        </is>
      </c>
    </row>
    <row r="39">
      <c r="D39" s="26" t="inlineStr">
        <is>
          <t>COMPROBACIÓN</t>
        </is>
      </c>
      <c r="E39" s="114">
        <f>L8-SUM(E33:E34,E37:E38)</f>
        <v/>
      </c>
    </row>
    <row r="41">
      <c r="C41" s="55" t="n"/>
      <c r="D41" s="56" t="n"/>
      <c r="E41" s="57" t="n"/>
      <c r="F41" s="58" t="n"/>
      <c r="G41" s="59" t="n"/>
    </row>
    <row r="42">
      <c r="C42" s="59" t="n"/>
      <c r="D42" s="115" t="n"/>
      <c r="E42" s="116" t="n"/>
      <c r="F42" s="117" t="n"/>
      <c r="G42" s="59" t="n"/>
    </row>
    <row r="43">
      <c r="C43" s="59" t="n"/>
      <c r="D43" s="59" t="n"/>
      <c r="E43" s="115" t="n"/>
      <c r="F43" s="118" t="n"/>
      <c r="G43" s="59" t="n"/>
    </row>
    <row r="44">
      <c r="C44" s="59" t="n"/>
      <c r="D44" s="119" t="n"/>
      <c r="E44" s="59" t="n"/>
      <c r="F44" s="59" t="n"/>
      <c r="G44" s="59" t="n"/>
    </row>
    <row r="45">
      <c r="C45" s="65" t="n"/>
      <c r="D45" s="117" t="n"/>
      <c r="E45" s="59" t="n"/>
      <c r="F45" s="117" t="n"/>
      <c r="G45" s="59" t="n"/>
    </row>
    <row r="46">
      <c r="C46" s="59" t="n"/>
      <c r="D46" s="117" t="n"/>
      <c r="E46" s="59" t="n"/>
      <c r="F46" s="59" t="n"/>
      <c r="G46" s="59" t="n"/>
    </row>
    <row r="47">
      <c r="E47" s="111" t="n"/>
    </row>
  </sheetData>
  <mergeCells count="40">
    <mergeCell ref="C6:D6"/>
    <mergeCell ref="C8:F8"/>
    <mergeCell ref="C15:D15"/>
    <mergeCell ref="B17:G17"/>
    <mergeCell ref="F34:G34"/>
    <mergeCell ref="C7:F7"/>
    <mergeCell ref="B24:H24"/>
    <mergeCell ref="C14:D14"/>
    <mergeCell ref="A3:I3"/>
    <mergeCell ref="B27:C27"/>
    <mergeCell ref="B20:H20"/>
    <mergeCell ref="B26:H26"/>
    <mergeCell ref="C16:D16"/>
    <mergeCell ref="A5:I5"/>
    <mergeCell ref="D27:E27"/>
    <mergeCell ref="F33:G33"/>
    <mergeCell ref="F32:G32"/>
    <mergeCell ref="B25:H25"/>
    <mergeCell ref="B31:H31"/>
    <mergeCell ref="B22:H22"/>
    <mergeCell ref="B38:C38"/>
    <mergeCell ref="F38:G38"/>
    <mergeCell ref="B21:H21"/>
    <mergeCell ref="B34:C34"/>
    <mergeCell ref="B37:C37"/>
    <mergeCell ref="B28:C28"/>
    <mergeCell ref="D28:E28"/>
    <mergeCell ref="B2:H2"/>
    <mergeCell ref="F28:G28"/>
    <mergeCell ref="G14:H14"/>
    <mergeCell ref="C10:F10"/>
    <mergeCell ref="F27:G27"/>
    <mergeCell ref="B23:H23"/>
    <mergeCell ref="F37:G37"/>
    <mergeCell ref="C9:F9"/>
    <mergeCell ref="A11:I11"/>
    <mergeCell ref="B33:C33"/>
    <mergeCell ref="D29:E29"/>
    <mergeCell ref="B32:C32"/>
    <mergeCell ref="C4:H4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F8" sqref="F8"/>
    </sheetView>
  </sheetViews>
  <sheetFormatPr baseColWidth="10" defaultRowHeight="15.6"/>
  <cols>
    <col width="17.3984375" bestFit="1" customWidth="1" min="2" max="2"/>
    <col width="12.09765625" bestFit="1" customWidth="1" style="120" min="3" max="3"/>
  </cols>
  <sheetData>
    <row r="2">
      <c r="B2" t="inlineStr">
        <is>
          <t>SUB</t>
        </is>
      </c>
      <c r="C2" s="120" t="n">
        <v>638569.6</v>
      </c>
    </row>
    <row r="3">
      <c r="B3" t="inlineStr">
        <is>
          <t>IVA</t>
        </is>
      </c>
      <c r="C3" s="120">
        <f>+C2*16%</f>
        <v/>
      </c>
    </row>
    <row r="4">
      <c r="B4" t="inlineStr">
        <is>
          <t>TOTAL</t>
        </is>
      </c>
      <c r="C4" s="120">
        <f>+C2+C3</f>
        <v/>
      </c>
    </row>
    <row r="6">
      <c r="B6" s="48" t="inlineStr">
        <is>
          <t>4.5% COMISIÓN</t>
        </is>
      </c>
      <c r="C6" s="120">
        <f>+C4*4.5%</f>
        <v/>
      </c>
    </row>
    <row r="7">
      <c r="B7" t="inlineStr">
        <is>
          <t>RESTANTE</t>
        </is>
      </c>
      <c r="C7" s="120">
        <f>+C4-C6</f>
        <v/>
      </c>
    </row>
    <row r="9">
      <c r="B9" s="50" t="inlineStr">
        <is>
          <t>1% EFE</t>
        </is>
      </c>
      <c r="C9" s="120">
        <f>+C7*1%</f>
        <v/>
      </c>
    </row>
    <row r="11">
      <c r="B11" s="51" t="inlineStr">
        <is>
          <t>TOTAL A ENTREGAR</t>
        </is>
      </c>
      <c r="C11" s="121">
        <f>+C7-C9</f>
        <v/>
      </c>
    </row>
    <row r="13">
      <c r="B13" s="53" t="inlineStr">
        <is>
          <t>SALDO A FAVOR</t>
        </is>
      </c>
      <c r="C13" s="122">
        <f>+C11-700000</f>
        <v/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Anuar Morales</dc:creator>
  <dcterms:created xmlns:dcterms="http://purl.org/dc/terms/" xmlns:xsi="http://www.w3.org/2001/XMLSchema-instance" xsi:type="dcterms:W3CDTF">2018-03-22T16:28:00Z</dcterms:created>
  <dcterms:modified xmlns:dcterms="http://purl.org/dc/terms/" xmlns:xsi="http://www.w3.org/2001/XMLSchema-instance" xsi:type="dcterms:W3CDTF">2026-06-22T17:37:20Z</dcterms:modified>
  <cp:lastModifiedBy>ya154</cp:lastModifiedBy>
  <cp:lastPrinted>2018-10-20T01:22:39Z</cp:lastPrinted>
</cp:coreProperties>
</file>